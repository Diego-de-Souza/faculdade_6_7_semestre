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bilemed\Documents\facul\6_semestre\"/>
    </mc:Choice>
  </mc:AlternateContent>
  <xr:revisionPtr revIDLastSave="0" documentId="13_ncr:1_{21DC7B83-5661-4B47-A893-E10716B9CA8D}" xr6:coauthVersionLast="47" xr6:coauthVersionMax="47" xr10:uidLastSave="{00000000-0000-0000-0000-000000000000}"/>
  <bookViews>
    <workbookView xWindow="-108" yWindow="-108" windowWidth="23256" windowHeight="12456" xr2:uid="{458F228A-C132-4A0E-BE17-5D9196CFCC1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I9" i="1" s="1"/>
  <c r="K9" i="1" s="1"/>
  <c r="H3" i="1"/>
  <c r="D8" i="1"/>
  <c r="D9" i="1"/>
  <c r="D7" i="1"/>
  <c r="D6" i="1"/>
  <c r="D5" i="1"/>
  <c r="D4" i="1"/>
  <c r="D3" i="1"/>
  <c r="I8" i="1" l="1"/>
  <c r="K8" i="1" s="1"/>
  <c r="I5" i="1"/>
  <c r="K5" i="1" s="1"/>
  <c r="I6" i="1"/>
  <c r="K6" i="1" s="1"/>
  <c r="I7" i="1"/>
  <c r="K7" i="1" s="1"/>
  <c r="I4" i="1"/>
  <c r="K4" i="1" s="1"/>
  <c r="I3" i="1"/>
  <c r="K3" i="1" s="1"/>
</calcChain>
</file>

<file path=xl/sharedStrings.xml><?xml version="1.0" encoding="utf-8"?>
<sst xmlns="http://schemas.openxmlformats.org/spreadsheetml/2006/main" count="25" uniqueCount="17">
  <si>
    <t>Tabela de notas</t>
  </si>
  <si>
    <t>n1</t>
  </si>
  <si>
    <t>n2</t>
  </si>
  <si>
    <t>m1</t>
  </si>
  <si>
    <t>af</t>
  </si>
  <si>
    <t>m2</t>
  </si>
  <si>
    <t>media</t>
  </si>
  <si>
    <t>para passar</t>
  </si>
  <si>
    <t>quant. Falta</t>
  </si>
  <si>
    <t>Se ta aprovado vai curtir</t>
  </si>
  <si>
    <t>preencher somensa as celulas na cor branca</t>
  </si>
  <si>
    <t>compiladores</t>
  </si>
  <si>
    <t>comunicação de dados</t>
  </si>
  <si>
    <t>economia</t>
  </si>
  <si>
    <t>gestão de custo</t>
  </si>
  <si>
    <t>mobile</t>
  </si>
  <si>
    <t>distemas reconfiguraveis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</si>
</sst>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3">
    <dxf>
      <font>
        <color auto="1"/>
      </font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57C5B-0DE5-490B-9833-6BB99BBC9E48}">
  <dimension ref="A1:L11"/>
  <sheetViews>
    <sheetView tabSelected="1" workbookViewId="0">
      <selection activeCell="I5" sqref="I5"/>
    </sheetView>
  </sheetViews>
  <sheetFormatPr defaultRowHeight="14.4" x14ac:dyDescent="0.3"/>
  <cols>
    <col min="1" max="1" width="21.33203125" bestFit="1" customWidth="1"/>
    <col min="10" max="10" width="11.77734375" customWidth="1"/>
    <col min="11" max="11" width="14.33203125" customWidth="1"/>
    <col min="12" max="12" width="22.21875" customWidth="1"/>
  </cols>
  <sheetData>
    <row r="1" spans="1:12" ht="21" x14ac:dyDescent="0.4">
      <c r="B1" s="5" t="s">
        <v>0</v>
      </c>
      <c r="C1" s="5"/>
      <c r="D1" s="5"/>
      <c r="E1" s="5"/>
      <c r="F1" s="5"/>
      <c r="G1" s="5"/>
      <c r="H1" s="5"/>
      <c r="I1" s="5"/>
      <c r="J1" s="5"/>
      <c r="K1" s="5"/>
    </row>
    <row r="2" spans="1:12" x14ac:dyDescent="0.3">
      <c r="B2" s="1" t="s">
        <v>1</v>
      </c>
      <c r="C2" s="1" t="s">
        <v>2</v>
      </c>
      <c r="D2" s="1" t="s">
        <v>3</v>
      </c>
      <c r="E2" s="1" t="s">
        <v>1</v>
      </c>
      <c r="F2" s="1" t="s">
        <v>4</v>
      </c>
      <c r="G2" s="1" t="s">
        <v>2</v>
      </c>
      <c r="H2" s="1" t="s">
        <v>5</v>
      </c>
      <c r="I2" s="1" t="s">
        <v>6</v>
      </c>
      <c r="J2" s="1" t="s">
        <v>7</v>
      </c>
      <c r="K2" s="1" t="s">
        <v>8</v>
      </c>
    </row>
    <row r="3" spans="1:12" x14ac:dyDescent="0.3">
      <c r="A3" t="s">
        <v>11</v>
      </c>
      <c r="B3" s="2">
        <v>7.8</v>
      </c>
      <c r="C3" s="2">
        <v>6</v>
      </c>
      <c r="D3" s="4">
        <f>((B3*0.4)+(C3*0.6))</f>
        <v>6.72</v>
      </c>
      <c r="E3" s="2">
        <v>9</v>
      </c>
      <c r="F3" s="2">
        <v>5.2</v>
      </c>
      <c r="G3" s="2"/>
      <c r="H3" s="4">
        <f>((((E3+F3)/2)*0.4)+(G3*0.6))</f>
        <v>2.84</v>
      </c>
      <c r="I3" s="4">
        <f>(D3+H3)/2</f>
        <v>4.7799999999999994</v>
      </c>
      <c r="J3" s="4">
        <v>5</v>
      </c>
      <c r="K3" s="3">
        <f>IF(J3&gt;I3,J3-I3,"Aprovado")</f>
        <v>0.22000000000000064</v>
      </c>
      <c r="L3" t="s">
        <v>9</v>
      </c>
    </row>
    <row r="4" spans="1:12" x14ac:dyDescent="0.3">
      <c r="A4" t="s">
        <v>12</v>
      </c>
      <c r="B4" s="2">
        <v>8.6999999999999993</v>
      </c>
      <c r="C4" s="2">
        <v>10</v>
      </c>
      <c r="D4" s="4">
        <f t="shared" ref="D4:D9" si="0">((B4*0.4)+(C4*0.6))</f>
        <v>9.48</v>
      </c>
      <c r="E4" s="2">
        <v>0</v>
      </c>
      <c r="F4" s="2">
        <v>5.2</v>
      </c>
      <c r="G4" s="2"/>
      <c r="H4" s="4">
        <f t="shared" ref="H4:H9" si="1">((((E4+F4)/2)*0.4)+(G4*0.6))</f>
        <v>1.04</v>
      </c>
      <c r="I4" s="4">
        <f t="shared" ref="I4:I9" si="2">(D4+H4)/2</f>
        <v>5.26</v>
      </c>
      <c r="J4" s="4">
        <v>5</v>
      </c>
      <c r="K4" s="3" t="str">
        <f t="shared" ref="K4:K9" si="3">IF(J4&gt;I4,J4-I4,"Aprovado")</f>
        <v>Aprovado</v>
      </c>
      <c r="L4" t="s">
        <v>9</v>
      </c>
    </row>
    <row r="5" spans="1:12" x14ac:dyDescent="0.3">
      <c r="A5" t="s">
        <v>13</v>
      </c>
      <c r="B5" s="2">
        <v>10</v>
      </c>
      <c r="C5" s="2">
        <v>9.5</v>
      </c>
      <c r="D5" s="4">
        <f t="shared" si="0"/>
        <v>9.6999999999999993</v>
      </c>
      <c r="E5" s="2">
        <v>0</v>
      </c>
      <c r="F5" s="2">
        <v>5.2</v>
      </c>
      <c r="G5" s="2"/>
      <c r="H5" s="4">
        <f t="shared" si="1"/>
        <v>1.04</v>
      </c>
      <c r="I5" s="4">
        <f t="shared" si="2"/>
        <v>5.3699999999999992</v>
      </c>
      <c r="J5" s="4">
        <v>5</v>
      </c>
      <c r="K5" s="3" t="str">
        <f t="shared" si="3"/>
        <v>Aprovado</v>
      </c>
      <c r="L5" t="s">
        <v>9</v>
      </c>
    </row>
    <row r="6" spans="1:12" x14ac:dyDescent="0.3">
      <c r="A6" t="s">
        <v>14</v>
      </c>
      <c r="B6" s="2">
        <v>0</v>
      </c>
      <c r="C6" s="2">
        <v>0</v>
      </c>
      <c r="D6" s="4">
        <f t="shared" si="0"/>
        <v>0</v>
      </c>
      <c r="E6" s="2">
        <v>0</v>
      </c>
      <c r="F6" s="2">
        <v>0</v>
      </c>
      <c r="G6" s="2"/>
      <c r="H6" s="4">
        <f t="shared" si="1"/>
        <v>0</v>
      </c>
      <c r="I6" s="4">
        <f t="shared" si="2"/>
        <v>0</v>
      </c>
      <c r="J6" s="4">
        <v>5</v>
      </c>
      <c r="K6" s="3">
        <f t="shared" si="3"/>
        <v>5</v>
      </c>
      <c r="L6" t="s">
        <v>9</v>
      </c>
    </row>
    <row r="7" spans="1:12" x14ac:dyDescent="0.3">
      <c r="A7" t="s">
        <v>15</v>
      </c>
      <c r="B7" s="2">
        <v>7</v>
      </c>
      <c r="C7" s="2">
        <v>10</v>
      </c>
      <c r="D7" s="4">
        <f t="shared" si="0"/>
        <v>8.8000000000000007</v>
      </c>
      <c r="E7" s="2">
        <v>7</v>
      </c>
      <c r="F7" s="2">
        <v>5.2</v>
      </c>
      <c r="G7" s="2">
        <v>0</v>
      </c>
      <c r="H7" s="4">
        <f t="shared" si="1"/>
        <v>2.44</v>
      </c>
      <c r="I7" s="4">
        <f t="shared" si="2"/>
        <v>5.62</v>
      </c>
      <c r="J7" s="4">
        <v>5</v>
      </c>
      <c r="K7" s="3" t="str">
        <f t="shared" si="3"/>
        <v>Aprovado</v>
      </c>
      <c r="L7" t="s">
        <v>9</v>
      </c>
    </row>
    <row r="8" spans="1:12" x14ac:dyDescent="0.3">
      <c r="A8" t="s">
        <v>16</v>
      </c>
      <c r="B8" s="2">
        <v>8</v>
      </c>
      <c r="C8" s="2">
        <v>10</v>
      </c>
      <c r="D8" s="4">
        <f t="shared" si="0"/>
        <v>9.1999999999999993</v>
      </c>
      <c r="E8" s="2">
        <v>8</v>
      </c>
      <c r="F8" s="2">
        <v>5.2</v>
      </c>
      <c r="G8" s="2"/>
      <c r="H8" s="4">
        <f t="shared" si="1"/>
        <v>2.64</v>
      </c>
      <c r="I8" s="4">
        <f t="shared" si="2"/>
        <v>5.92</v>
      </c>
      <c r="J8" s="4">
        <v>5</v>
      </c>
      <c r="K8" s="3" t="str">
        <f t="shared" si="3"/>
        <v>Aprovado</v>
      </c>
      <c r="L8" t="s">
        <v>9</v>
      </c>
    </row>
    <row r="9" spans="1:12" x14ac:dyDescent="0.3">
      <c r="B9" s="2"/>
      <c r="C9" s="2"/>
      <c r="D9" s="4">
        <f t="shared" si="0"/>
        <v>0</v>
      </c>
      <c r="E9" s="2"/>
      <c r="F9" s="2"/>
      <c r="G9" s="2"/>
      <c r="H9" s="4">
        <f t="shared" si="1"/>
        <v>0</v>
      </c>
      <c r="I9" s="4">
        <f t="shared" si="2"/>
        <v>0</v>
      </c>
      <c r="J9" s="4">
        <v>5</v>
      </c>
      <c r="K9" s="3">
        <f t="shared" si="3"/>
        <v>5</v>
      </c>
      <c r="L9" t="s">
        <v>9</v>
      </c>
    </row>
    <row r="11" spans="1:12" ht="18" x14ac:dyDescent="0.35">
      <c r="B11" s="6" t="s">
        <v>10</v>
      </c>
      <c r="C11" s="6"/>
      <c r="D11" s="6"/>
      <c r="E11" s="6"/>
      <c r="F11" s="6"/>
      <c r="G11" s="6"/>
      <c r="H11" s="6"/>
      <c r="I11" s="6"/>
      <c r="J11" s="6"/>
      <c r="K11" s="6"/>
    </row>
  </sheetData>
  <mergeCells count="2">
    <mergeCell ref="B1:K1"/>
    <mergeCell ref="B11:K11"/>
  </mergeCells>
  <conditionalFormatting sqref="K3:K9">
    <cfRule type="cellIs" dxfId="2" priority="1" operator="notEqual">
      <formula>"Aprovado"</formula>
    </cfRule>
    <cfRule type="cellIs" dxfId="1" priority="2" operator="equal">
      <formula>"Aprovado"</formula>
    </cfRule>
    <cfRule type="cellIs" dxfId="0" priority="3" operator="equal">
      <formula>"""Aprovado"""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de Souza Lima Souza</dc:creator>
  <cp:lastModifiedBy>Diego de Souza Lima Souza</cp:lastModifiedBy>
  <dcterms:created xsi:type="dcterms:W3CDTF">2025-05-27T17:46:28Z</dcterms:created>
  <dcterms:modified xsi:type="dcterms:W3CDTF">2025-11-19T23:05:53Z</dcterms:modified>
</cp:coreProperties>
</file>